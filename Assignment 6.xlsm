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d.docs.live.net/6d4faeb22a18fa46/Desktop/"/>
    </mc:Choice>
  </mc:AlternateContent>
  <xr:revisionPtr revIDLastSave="0" documentId="8_{24D00CA8-E9B8-42F2-8323-F06DAC32691E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1" sheetId="4" r:id="rId1"/>
    <sheet name="1 (2)" sheetId="5" r:id="rId2"/>
    <sheet name="1 (4)" sheetId="8" r:id="rId3"/>
    <sheet name="2" sheetId="2" r:id="rId4"/>
    <sheet name="records" sheetId="1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0" i="5" l="1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9" i="5"/>
  <c r="J9" i="8"/>
  <c r="H9" i="8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9" i="4"/>
</calcChain>
</file>

<file path=xl/sharedStrings.xml><?xml version="1.0" encoding="utf-8"?>
<sst xmlns="http://schemas.openxmlformats.org/spreadsheetml/2006/main" count="165" uniqueCount="34">
  <si>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</si>
  <si>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</si>
  <si>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</si>
  <si>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</si>
  <si>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</si>
  <si>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</si>
  <si>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</si>
  <si>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</si>
  <si>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</si>
  <si>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</si>
  <si>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</si>
  <si>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</si>
  <si>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</si>
  <si>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</si>
  <si>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</si>
  <si>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</si>
  <si>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</si>
  <si>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</si>
  <si>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</si>
  <si>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</si>
  <si>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</si>
  <si>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</si>
  <si>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>NEW JOINEE DETAILS</t>
  </si>
  <si>
    <t>NAME</t>
  </si>
  <si>
    <t>AGE</t>
  </si>
  <si>
    <t>D.O.B</t>
  </si>
  <si>
    <t>ADDRESS</t>
  </si>
  <si>
    <t>PHONE NO.</t>
  </si>
  <si>
    <t>FATHERS/MOTHERS NAME</t>
  </si>
  <si>
    <t>SEX</t>
  </si>
  <si>
    <t>ANCHAL AGARWAL</t>
  </si>
  <si>
    <t>FEMALE</t>
  </si>
  <si>
    <t>BASUDEB AGARWAL</t>
  </si>
  <si>
    <t>BTM 2ND STAGE,560076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</si>
</sst>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₹&quot;\ #,##0.00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10" fontId="0" fillId="0" borderId="0" xfId="0" applyNumberFormat="1"/>
    <xf numFmtId="165" fontId="0" fillId="0" borderId="0" xfId="0" applyNumberFormat="1"/>
    <xf numFmtId="0" fontId="0" fillId="0" borderId="1" xfId="0" applyBorder="1"/>
    <xf numFmtId="165" fontId="0" fillId="0" borderId="1" xfId="0" applyNumberFormat="1" applyBorder="1"/>
    <xf numFmtId="10" fontId="0" fillId="0" borderId="1" xfId="0" applyNumberFormat="1" applyBorder="1"/>
    <xf numFmtId="0" fontId="2" fillId="2" borderId="1" xfId="0" applyFont="1" applyFill="1" applyBorder="1"/>
    <xf numFmtId="0" fontId="2" fillId="3" borderId="1" xfId="0" applyFont="1" applyFill="1" applyBorder="1"/>
    <xf numFmtId="0" fontId="0" fillId="0" borderId="0" xfId="0" applyAlignment="1"/>
    <xf numFmtId="0" fontId="0" fillId="5" borderId="1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14" fontId="0" fillId="6" borderId="1" xfId="0" applyNumberFormat="1" applyFill="1" applyBorder="1" applyAlignment="1">
      <alignment horizontal="left"/>
    </xf>
    <xf numFmtId="0" fontId="0" fillId="5" borderId="1" xfId="0" applyFill="1" applyBorder="1" applyAlignment="1"/>
    <xf numFmtId="0" fontId="3" fillId="4" borderId="1" xfId="0" applyFon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27709</xdr:colOff>
      <xdr:row>1</xdr:row>
      <xdr:rowOff>38100</xdr:rowOff>
    </xdr:from>
    <xdr:to>
      <xdr:col>21</xdr:col>
      <xdr:colOff>127000</xdr:colOff>
      <xdr:row>24</xdr:row>
      <xdr:rowOff>174624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011ED0-6F15-65D5-652F-3DBAF58371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02" t="1316" r="17466" b="-1316"/>
        <a:stretch/>
      </xdr:blipFill>
      <xdr:spPr>
        <a:xfrm>
          <a:off x="10238509" y="222250"/>
          <a:ext cx="4976091" cy="43719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575236</xdr:colOff>
      <xdr:row>2</xdr:row>
      <xdr:rowOff>127000</xdr:rowOff>
    </xdr:from>
    <xdr:to>
      <xdr:col>12</xdr:col>
      <xdr:colOff>351118</xdr:colOff>
      <xdr:row>6</xdr:row>
      <xdr:rowOff>52294</xdr:rowOff>
    </xdr:to>
    <xdr:sp macro="[0]!assignment" textlink="">
      <xdr:nvSpPr>
        <xdr:cNvPr id="2" name="Oval 1">
          <a:extLst>
            <a:ext uri="{FF2B5EF4-FFF2-40B4-BE49-F238E27FC236}">
              <a16:creationId xmlns:a16="http://schemas.microsoft.com/office/drawing/2014/main" id="{DC75C258-72AE-41F5-7D2A-DD0087326A85}"/>
            </a:ext>
          </a:extLst>
        </xdr:cNvPr>
        <xdr:cNvSpPr/>
      </xdr:nvSpPr>
      <xdr:spPr>
        <a:xfrm>
          <a:off x="8299824" y="500529"/>
          <a:ext cx="1613647" cy="67235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COMMAND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4214092</xdr:colOff>
      <xdr:row>14</xdr:row>
      <xdr:rowOff>2886</xdr:rowOff>
    </xdr:from>
    <xdr:to>
      <xdr:col>3</xdr:col>
      <xdr:colOff>5465619</xdr:colOff>
      <xdr:row>16</xdr:row>
      <xdr:rowOff>2886</xdr:rowOff>
    </xdr:to>
    <xdr:sp macro="[0]!joinee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42727F2-91AE-D542-F692-8723D7BEACC8}"/>
            </a:ext>
          </a:extLst>
        </xdr:cNvPr>
        <xdr:cNvSpPr/>
      </xdr:nvSpPr>
      <xdr:spPr>
        <a:xfrm>
          <a:off x="7338292" y="2580986"/>
          <a:ext cx="1251527" cy="368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0">
              <a:latin typeface="Britannic Bold" panose="020B0903060703020204" pitchFamily="34" charset="0"/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C305B-6C10-42C8-97E1-939CAC7E7EC9}">
  <dimension ref="C2:K41"/>
  <sheetViews>
    <sheetView zoomScaleNormal="100" workbookViewId="0">
      <selection activeCell="L8" sqref="L8"/>
    </sheetView>
  </sheetViews>
  <sheetFormatPr defaultRowHeight="14.5" x14ac:dyDescent="0.35"/>
  <cols>
    <col min="4" max="4" width="12" bestFit="1" customWidth="1"/>
    <col min="5" max="5" width="18" bestFit="1" customWidth="1"/>
    <col min="6" max="6" width="9.26953125" bestFit="1" customWidth="1"/>
    <col min="7" max="7" width="11.90625" bestFit="1" customWidth="1"/>
    <col min="8" max="8" width="13.36328125" customWidth="1"/>
    <col min="9" max="9" width="20.453125" bestFit="1" customWidth="1"/>
    <col min="10" max="10" width="8.81640625" bestFit="1" customWidth="1"/>
  </cols>
  <sheetData>
    <row r="2" spans="3:11" x14ac:dyDescent="0.35">
      <c r="C2" s="1" t="s">
        <v>0</v>
      </c>
      <c r="I2" s="1" t="s">
        <v>19</v>
      </c>
    </row>
    <row r="3" spans="3:11" x14ac:dyDescent="0.35">
      <c r="C3" s="1" t="s">
        <v>1</v>
      </c>
    </row>
    <row r="4" spans="3:11" x14ac:dyDescent="0.35">
      <c r="C4" s="1" t="s">
        <v>16</v>
      </c>
    </row>
    <row r="5" spans="3:11" x14ac:dyDescent="0.35">
      <c r="C5" s="1" t="s">
        <v>17</v>
      </c>
    </row>
    <row r="6" spans="3:11" x14ac:dyDescent="0.35">
      <c r="C6" s="1" t="s">
        <v>18</v>
      </c>
    </row>
    <row r="8" spans="3:11" x14ac:dyDescent="0.35">
      <c r="C8" s="7" t="s">
        <v>3</v>
      </c>
      <c r="D8" s="7" t="s">
        <v>4</v>
      </c>
      <c r="E8" s="7" t="s">
        <v>11</v>
      </c>
      <c r="F8" s="7" t="s">
        <v>12</v>
      </c>
      <c r="G8" s="7" t="s">
        <v>13</v>
      </c>
      <c r="H8" s="7" t="s">
        <v>14</v>
      </c>
      <c r="I8" s="7" t="s">
        <v>15</v>
      </c>
      <c r="J8" s="7" t="s">
        <v>10</v>
      </c>
      <c r="K8" s="7" t="s">
        <v>21</v>
      </c>
    </row>
    <row r="9" spans="3:11" x14ac:dyDescent="0.35">
      <c r="C9" s="4">
        <v>20847</v>
      </c>
      <c r="D9" s="4" t="s">
        <v>5</v>
      </c>
      <c r="E9" s="4">
        <v>4</v>
      </c>
      <c r="F9" s="5">
        <v>2.84</v>
      </c>
      <c r="G9" s="5">
        <v>0.93</v>
      </c>
      <c r="H9" s="5">
        <f>E9*F9</f>
        <v>11.36</v>
      </c>
      <c r="I9" s="5">
        <v>0.54</v>
      </c>
      <c r="J9" s="5">
        <f>(E9*I9)-G9</f>
        <v>1.23</v>
      </c>
      <c r="K9" s="6">
        <f>J9/H9</f>
        <v>0.10827464788732395</v>
      </c>
    </row>
    <row r="10" spans="3:11" x14ac:dyDescent="0.35">
      <c r="C10" s="4">
        <v>20228</v>
      </c>
      <c r="D10" s="4" t="s">
        <v>6</v>
      </c>
      <c r="E10" s="4">
        <v>12</v>
      </c>
      <c r="F10" s="5">
        <v>500.98</v>
      </c>
      <c r="G10" s="5">
        <v>26</v>
      </c>
      <c r="H10" s="5">
        <f t="shared" ref="H10:H41" si="0">E10*F10</f>
        <v>6011.76</v>
      </c>
      <c r="I10" s="5">
        <v>0.6</v>
      </c>
      <c r="J10" s="5">
        <f t="shared" ref="J10:J41" si="1">(E10*I10)-G10</f>
        <v>-18.8</v>
      </c>
      <c r="K10" s="6">
        <f t="shared" ref="K10:K41" si="2">J10/H10</f>
        <v>-3.1272040134669382E-3</v>
      </c>
    </row>
    <row r="11" spans="3:11" x14ac:dyDescent="0.35">
      <c r="C11" s="4">
        <v>21776</v>
      </c>
      <c r="D11" s="4" t="s">
        <v>7</v>
      </c>
      <c r="E11" s="4">
        <v>22</v>
      </c>
      <c r="F11" s="5">
        <v>9.48</v>
      </c>
      <c r="G11" s="5">
        <v>7.29</v>
      </c>
      <c r="H11" s="5">
        <f t="shared" si="0"/>
        <v>208.56</v>
      </c>
      <c r="I11" s="5">
        <v>0.45</v>
      </c>
      <c r="J11" s="5">
        <f t="shared" si="1"/>
        <v>2.6100000000000003</v>
      </c>
      <c r="K11" s="6">
        <f t="shared" si="2"/>
        <v>1.2514384349827389E-2</v>
      </c>
    </row>
    <row r="12" spans="3:11" x14ac:dyDescent="0.35">
      <c r="C12" s="4">
        <v>24844</v>
      </c>
      <c r="D12" s="4" t="s">
        <v>8</v>
      </c>
      <c r="E12" s="4">
        <v>16</v>
      </c>
      <c r="F12" s="5">
        <v>78.69</v>
      </c>
      <c r="G12" s="5">
        <v>19.989999999999998</v>
      </c>
      <c r="H12" s="5">
        <f t="shared" si="0"/>
        <v>1259.04</v>
      </c>
      <c r="I12" s="5">
        <v>0.43</v>
      </c>
      <c r="J12" s="5">
        <f t="shared" si="1"/>
        <v>-13.11</v>
      </c>
      <c r="K12" s="6">
        <f t="shared" si="2"/>
        <v>-1.0412695386961494E-2</v>
      </c>
    </row>
    <row r="13" spans="3:11" x14ac:dyDescent="0.35">
      <c r="C13" s="4">
        <v>24846</v>
      </c>
      <c r="D13" s="4" t="s">
        <v>8</v>
      </c>
      <c r="E13" s="4">
        <v>7</v>
      </c>
      <c r="F13" s="5">
        <v>3.28</v>
      </c>
      <c r="G13" s="5">
        <v>2.31</v>
      </c>
      <c r="H13" s="5">
        <f t="shared" si="0"/>
        <v>22.959999999999997</v>
      </c>
      <c r="I13" s="5">
        <v>0.56000000000000005</v>
      </c>
      <c r="J13" s="5">
        <f t="shared" si="1"/>
        <v>1.6100000000000003</v>
      </c>
      <c r="K13" s="6">
        <f t="shared" si="2"/>
        <v>7.0121951219512216E-2</v>
      </c>
    </row>
    <row r="14" spans="3:11" x14ac:dyDescent="0.35">
      <c r="C14" s="4">
        <v>24847</v>
      </c>
      <c r="D14" s="4" t="s">
        <v>8</v>
      </c>
      <c r="E14" s="4">
        <v>4</v>
      </c>
      <c r="F14" s="5">
        <v>3.28</v>
      </c>
      <c r="G14" s="5">
        <v>4.2</v>
      </c>
      <c r="H14" s="5">
        <f t="shared" si="0"/>
        <v>13.12</v>
      </c>
      <c r="I14" s="5">
        <v>0.56000000000000005</v>
      </c>
      <c r="J14" s="5">
        <f t="shared" si="1"/>
        <v>-1.96</v>
      </c>
      <c r="K14" s="6">
        <f t="shared" si="2"/>
        <v>-0.14939024390243902</v>
      </c>
    </row>
    <row r="15" spans="3:11" x14ac:dyDescent="0.35">
      <c r="C15" s="4">
        <v>24848</v>
      </c>
      <c r="D15" s="4" t="s">
        <v>8</v>
      </c>
      <c r="E15" s="4">
        <v>4</v>
      </c>
      <c r="F15" s="5">
        <v>3.58</v>
      </c>
      <c r="G15" s="5">
        <v>1.63</v>
      </c>
      <c r="H15" s="5">
        <f t="shared" si="0"/>
        <v>14.32</v>
      </c>
      <c r="I15" s="5">
        <v>0.36</v>
      </c>
      <c r="J15" s="5">
        <f t="shared" si="1"/>
        <v>-0.18999999999999995</v>
      </c>
      <c r="K15" s="6">
        <f t="shared" si="2"/>
        <v>-1.3268156424581002E-2</v>
      </c>
    </row>
    <row r="16" spans="3:11" x14ac:dyDescent="0.35">
      <c r="C16" s="4">
        <v>18181</v>
      </c>
      <c r="D16" s="4" t="s">
        <v>7</v>
      </c>
      <c r="E16" s="4">
        <v>7</v>
      </c>
      <c r="F16" s="5">
        <v>4.42</v>
      </c>
      <c r="G16" s="5">
        <v>4.99</v>
      </c>
      <c r="H16" s="5">
        <f t="shared" si="0"/>
        <v>30.939999999999998</v>
      </c>
      <c r="I16" s="5">
        <v>0.38</v>
      </c>
      <c r="J16" s="5">
        <f t="shared" si="1"/>
        <v>-2.33</v>
      </c>
      <c r="K16" s="6">
        <f t="shared" si="2"/>
        <v>-7.5307045895281199E-2</v>
      </c>
    </row>
    <row r="17" spans="3:11" x14ac:dyDescent="0.35">
      <c r="C17" s="4">
        <v>20925</v>
      </c>
      <c r="D17" s="4" t="s">
        <v>8</v>
      </c>
      <c r="E17" s="4">
        <v>10</v>
      </c>
      <c r="F17" s="5">
        <v>35.94</v>
      </c>
      <c r="G17" s="5">
        <v>6.66</v>
      </c>
      <c r="H17" s="5">
        <f t="shared" si="0"/>
        <v>359.4</v>
      </c>
      <c r="I17" s="5">
        <v>0.4</v>
      </c>
      <c r="J17" s="5">
        <f t="shared" si="1"/>
        <v>-2.66</v>
      </c>
      <c r="K17" s="6">
        <f t="shared" si="2"/>
        <v>-7.4012242626599898E-3</v>
      </c>
    </row>
    <row r="18" spans="3:11" x14ac:dyDescent="0.35">
      <c r="C18" s="4">
        <v>26267</v>
      </c>
      <c r="D18" s="4" t="s">
        <v>5</v>
      </c>
      <c r="E18" s="4">
        <v>6</v>
      </c>
      <c r="F18" s="5">
        <v>2.98</v>
      </c>
      <c r="G18" s="5">
        <v>1.58</v>
      </c>
      <c r="H18" s="5">
        <f t="shared" si="0"/>
        <v>17.88</v>
      </c>
      <c r="I18" s="5">
        <v>0.39</v>
      </c>
      <c r="J18" s="5">
        <f t="shared" si="1"/>
        <v>0.75999999999999979</v>
      </c>
      <c r="K18" s="6">
        <f t="shared" si="2"/>
        <v>4.25055928411633E-2</v>
      </c>
    </row>
    <row r="19" spans="3:11" x14ac:dyDescent="0.35">
      <c r="C19" s="4">
        <v>26268</v>
      </c>
      <c r="D19" s="4" t="s">
        <v>5</v>
      </c>
      <c r="E19" s="4">
        <v>10</v>
      </c>
      <c r="F19" s="5">
        <v>115.99</v>
      </c>
      <c r="G19" s="5">
        <v>2.5</v>
      </c>
      <c r="H19" s="5">
        <f t="shared" si="0"/>
        <v>1159.8999999999999</v>
      </c>
      <c r="I19" s="5">
        <v>0.55000000000000004</v>
      </c>
      <c r="J19" s="5">
        <f t="shared" si="1"/>
        <v>3</v>
      </c>
      <c r="K19" s="6">
        <f t="shared" si="2"/>
        <v>2.5864298646435043E-3</v>
      </c>
    </row>
    <row r="20" spans="3:11" x14ac:dyDescent="0.35">
      <c r="C20" s="4">
        <v>23890</v>
      </c>
      <c r="D20" s="4" t="s">
        <v>5</v>
      </c>
      <c r="E20" s="4">
        <v>17</v>
      </c>
      <c r="F20" s="5">
        <v>26.48</v>
      </c>
      <c r="G20" s="5">
        <v>6.93</v>
      </c>
      <c r="H20" s="5">
        <f t="shared" si="0"/>
        <v>450.16</v>
      </c>
      <c r="I20" s="5">
        <v>0.49</v>
      </c>
      <c r="J20" s="5">
        <f t="shared" si="1"/>
        <v>1.4000000000000004</v>
      </c>
      <c r="K20" s="6">
        <f t="shared" si="2"/>
        <v>3.1100053314377118E-3</v>
      </c>
    </row>
    <row r="21" spans="3:11" x14ac:dyDescent="0.35">
      <c r="C21" s="4">
        <v>24063</v>
      </c>
      <c r="D21" s="4" t="s">
        <v>6</v>
      </c>
      <c r="E21" s="4">
        <v>18</v>
      </c>
      <c r="F21" s="5">
        <v>12.99</v>
      </c>
      <c r="G21" s="5">
        <v>9.44</v>
      </c>
      <c r="H21" s="5">
        <f t="shared" si="0"/>
        <v>233.82</v>
      </c>
      <c r="I21" s="5">
        <v>0.39</v>
      </c>
      <c r="J21" s="5">
        <f t="shared" si="1"/>
        <v>-2.419999999999999</v>
      </c>
      <c r="K21" s="6">
        <f t="shared" si="2"/>
        <v>-1.0349841758617737E-2</v>
      </c>
    </row>
    <row r="22" spans="3:11" x14ac:dyDescent="0.35">
      <c r="C22" s="4">
        <v>5890</v>
      </c>
      <c r="D22" s="4" t="s">
        <v>5</v>
      </c>
      <c r="E22" s="4">
        <v>70</v>
      </c>
      <c r="F22" s="5">
        <v>26.48</v>
      </c>
      <c r="G22" s="5">
        <v>6.93</v>
      </c>
      <c r="H22" s="5">
        <f t="shared" si="0"/>
        <v>1853.6000000000001</v>
      </c>
      <c r="I22" s="5">
        <v>0.49</v>
      </c>
      <c r="J22" s="5">
        <f t="shared" si="1"/>
        <v>27.369999999999997</v>
      </c>
      <c r="K22" s="6">
        <f t="shared" si="2"/>
        <v>1.476586102719033E-2</v>
      </c>
    </row>
    <row r="23" spans="3:11" x14ac:dyDescent="0.35">
      <c r="C23" s="4">
        <v>6062</v>
      </c>
      <c r="D23" s="4" t="s">
        <v>6</v>
      </c>
      <c r="E23" s="4">
        <v>58</v>
      </c>
      <c r="F23" s="5">
        <v>5</v>
      </c>
      <c r="G23" s="5">
        <v>3.39</v>
      </c>
      <c r="H23" s="5">
        <f t="shared" si="0"/>
        <v>290</v>
      </c>
      <c r="I23" s="5">
        <v>0.37</v>
      </c>
      <c r="J23" s="5">
        <f t="shared" si="1"/>
        <v>18.07</v>
      </c>
      <c r="K23" s="6">
        <f t="shared" si="2"/>
        <v>6.2310344827586205E-2</v>
      </c>
    </row>
    <row r="24" spans="3:11" x14ac:dyDescent="0.35">
      <c r="C24" s="4">
        <v>6063</v>
      </c>
      <c r="D24" s="4" t="s">
        <v>6</v>
      </c>
      <c r="E24" s="4">
        <v>71</v>
      </c>
      <c r="F24" s="5">
        <v>12.99</v>
      </c>
      <c r="G24" s="5">
        <v>9.44</v>
      </c>
      <c r="H24" s="5">
        <f t="shared" si="0"/>
        <v>922.29</v>
      </c>
      <c r="I24" s="5">
        <v>0.39</v>
      </c>
      <c r="J24" s="5">
        <f t="shared" si="1"/>
        <v>18.25</v>
      </c>
      <c r="K24" s="6">
        <f t="shared" si="2"/>
        <v>1.9787702349586357E-2</v>
      </c>
    </row>
    <row r="25" spans="3:11" x14ac:dyDescent="0.35">
      <c r="C25" s="4">
        <v>20631</v>
      </c>
      <c r="D25" s="4" t="s">
        <v>5</v>
      </c>
      <c r="E25" s="4">
        <v>1</v>
      </c>
      <c r="F25" s="5">
        <v>55.48</v>
      </c>
      <c r="G25" s="5">
        <v>14.3</v>
      </c>
      <c r="H25" s="5">
        <f t="shared" si="0"/>
        <v>55.48</v>
      </c>
      <c r="I25" s="5">
        <v>0.37</v>
      </c>
      <c r="J25" s="5">
        <f t="shared" si="1"/>
        <v>-13.930000000000001</v>
      </c>
      <c r="K25" s="6">
        <f t="shared" si="2"/>
        <v>-0.25108147080028842</v>
      </c>
    </row>
    <row r="26" spans="3:11" x14ac:dyDescent="0.35">
      <c r="C26" s="4">
        <v>20632</v>
      </c>
      <c r="D26" s="4" t="s">
        <v>5</v>
      </c>
      <c r="E26" s="4">
        <v>1</v>
      </c>
      <c r="F26" s="5">
        <v>1.68</v>
      </c>
      <c r="G26" s="5">
        <v>1.57</v>
      </c>
      <c r="H26" s="5">
        <f t="shared" si="0"/>
        <v>1.68</v>
      </c>
      <c r="I26" s="5">
        <v>0.59</v>
      </c>
      <c r="J26" s="5">
        <f t="shared" si="1"/>
        <v>-0.98000000000000009</v>
      </c>
      <c r="K26" s="6">
        <f t="shared" si="2"/>
        <v>-0.58333333333333337</v>
      </c>
    </row>
    <row r="27" spans="3:11" x14ac:dyDescent="0.35">
      <c r="C27" s="4">
        <v>23967</v>
      </c>
      <c r="D27" s="4" t="s">
        <v>6</v>
      </c>
      <c r="E27" s="4">
        <v>12</v>
      </c>
      <c r="F27" s="5">
        <v>4.1399999999999997</v>
      </c>
      <c r="G27" s="5">
        <v>6.6</v>
      </c>
      <c r="H27" s="5">
        <f t="shared" si="0"/>
        <v>49.679999999999993</v>
      </c>
      <c r="I27" s="5">
        <v>0.49</v>
      </c>
      <c r="J27" s="5">
        <f t="shared" si="1"/>
        <v>-0.71999999999999975</v>
      </c>
      <c r="K27" s="6">
        <f t="shared" si="2"/>
        <v>-1.4492753623188403E-2</v>
      </c>
    </row>
    <row r="28" spans="3:11" x14ac:dyDescent="0.35">
      <c r="C28" s="4">
        <v>23509</v>
      </c>
      <c r="D28" s="4" t="s">
        <v>5</v>
      </c>
      <c r="E28" s="4">
        <v>13</v>
      </c>
      <c r="F28" s="5">
        <v>34.99</v>
      </c>
      <c r="G28" s="5">
        <v>7.73</v>
      </c>
      <c r="H28" s="5">
        <f t="shared" si="0"/>
        <v>454.87</v>
      </c>
      <c r="I28" s="5">
        <v>0.59</v>
      </c>
      <c r="J28" s="5">
        <f t="shared" si="1"/>
        <v>-6.0000000000000497E-2</v>
      </c>
      <c r="K28" s="6">
        <f t="shared" si="2"/>
        <v>-1.3190581924506012E-4</v>
      </c>
    </row>
    <row r="29" spans="3:11" x14ac:dyDescent="0.35">
      <c r="C29" s="4">
        <v>23612</v>
      </c>
      <c r="D29" s="4" t="s">
        <v>5</v>
      </c>
      <c r="E29" s="4">
        <v>2</v>
      </c>
      <c r="F29" s="5">
        <v>17.98</v>
      </c>
      <c r="G29" s="5">
        <v>8.51</v>
      </c>
      <c r="H29" s="5">
        <f t="shared" si="0"/>
        <v>35.96</v>
      </c>
      <c r="I29" s="5">
        <v>0.4</v>
      </c>
      <c r="J29" s="5">
        <f t="shared" si="1"/>
        <v>-7.71</v>
      </c>
      <c r="K29" s="6">
        <f t="shared" si="2"/>
        <v>-0.21440489432703003</v>
      </c>
    </row>
    <row r="30" spans="3:11" x14ac:dyDescent="0.35">
      <c r="C30" s="4">
        <v>23278</v>
      </c>
      <c r="D30" s="4" t="s">
        <v>8</v>
      </c>
      <c r="E30" s="4">
        <v>8</v>
      </c>
      <c r="F30" s="5">
        <v>125.99</v>
      </c>
      <c r="G30" s="5">
        <v>7.69</v>
      </c>
      <c r="H30" s="5">
        <f t="shared" si="0"/>
        <v>1007.92</v>
      </c>
      <c r="I30" s="5">
        <v>0.59</v>
      </c>
      <c r="J30" s="5">
        <f t="shared" si="1"/>
        <v>-2.9700000000000006</v>
      </c>
      <c r="K30" s="6">
        <f t="shared" si="2"/>
        <v>-2.9466624335264713E-3</v>
      </c>
    </row>
    <row r="31" spans="3:11" x14ac:dyDescent="0.35">
      <c r="C31" s="4">
        <v>19355</v>
      </c>
      <c r="D31" s="4" t="s">
        <v>9</v>
      </c>
      <c r="E31" s="4">
        <v>22</v>
      </c>
      <c r="F31" s="5">
        <v>205.99</v>
      </c>
      <c r="G31" s="5">
        <v>8.99</v>
      </c>
      <c r="H31" s="5">
        <f t="shared" si="0"/>
        <v>4531.7800000000007</v>
      </c>
      <c r="I31" s="5">
        <v>0.56000000000000005</v>
      </c>
      <c r="J31" s="5">
        <f t="shared" si="1"/>
        <v>3.33</v>
      </c>
      <c r="K31" s="6">
        <f t="shared" si="2"/>
        <v>7.3481060422174059E-4</v>
      </c>
    </row>
    <row r="32" spans="3:11" x14ac:dyDescent="0.35">
      <c r="C32" s="4">
        <v>23654</v>
      </c>
      <c r="D32" s="4" t="s">
        <v>6</v>
      </c>
      <c r="E32" s="4">
        <v>13</v>
      </c>
      <c r="F32" s="5">
        <v>4.24</v>
      </c>
      <c r="G32" s="5">
        <v>5.41</v>
      </c>
      <c r="H32" s="5">
        <f t="shared" si="0"/>
        <v>55.120000000000005</v>
      </c>
      <c r="I32" s="5">
        <v>0.35</v>
      </c>
      <c r="J32" s="5">
        <f t="shared" si="1"/>
        <v>-0.86000000000000032</v>
      </c>
      <c r="K32" s="6">
        <f t="shared" si="2"/>
        <v>-1.5602322206095795E-2</v>
      </c>
    </row>
    <row r="33" spans="3:11" x14ac:dyDescent="0.35">
      <c r="C33" s="4">
        <v>23655</v>
      </c>
      <c r="D33" s="4" t="s">
        <v>6</v>
      </c>
      <c r="E33" s="4">
        <v>18</v>
      </c>
      <c r="F33" s="5">
        <v>2.94</v>
      </c>
      <c r="G33" s="5">
        <v>0.7</v>
      </c>
      <c r="H33" s="5">
        <f t="shared" si="0"/>
        <v>52.92</v>
      </c>
      <c r="I33" s="5">
        <v>0.57999999999999996</v>
      </c>
      <c r="J33" s="5">
        <f t="shared" si="1"/>
        <v>9.74</v>
      </c>
      <c r="K33" s="6">
        <f t="shared" si="2"/>
        <v>0.18405139833711262</v>
      </c>
    </row>
    <row r="34" spans="3:11" x14ac:dyDescent="0.35">
      <c r="C34" s="4">
        <v>25933</v>
      </c>
      <c r="D34" s="4" t="s">
        <v>5</v>
      </c>
      <c r="E34" s="4">
        <v>6</v>
      </c>
      <c r="F34" s="5">
        <v>99.99</v>
      </c>
      <c r="G34" s="5">
        <v>19.989999999999998</v>
      </c>
      <c r="H34" s="5">
        <f t="shared" si="0"/>
        <v>599.93999999999994</v>
      </c>
      <c r="I34" s="5">
        <v>0.52</v>
      </c>
      <c r="J34" s="5">
        <f t="shared" si="1"/>
        <v>-16.869999999999997</v>
      </c>
      <c r="K34" s="6">
        <f t="shared" si="2"/>
        <v>-2.8119478614528119E-2</v>
      </c>
    </row>
    <row r="35" spans="3:11" x14ac:dyDescent="0.35">
      <c r="C35" s="4">
        <v>20697</v>
      </c>
      <c r="D35" s="4" t="s">
        <v>8</v>
      </c>
      <c r="E35" s="4">
        <v>6</v>
      </c>
      <c r="F35" s="5">
        <v>115.99</v>
      </c>
      <c r="G35" s="5">
        <v>2.5</v>
      </c>
      <c r="H35" s="5">
        <f t="shared" si="0"/>
        <v>695.93999999999994</v>
      </c>
      <c r="I35" s="5">
        <v>0.56999999999999995</v>
      </c>
      <c r="J35" s="5">
        <f t="shared" si="1"/>
        <v>0.91999999999999993</v>
      </c>
      <c r="K35" s="6">
        <f t="shared" si="2"/>
        <v>1.321953041928902E-3</v>
      </c>
    </row>
    <row r="36" spans="3:11" x14ac:dyDescent="0.35">
      <c r="C36" s="4">
        <v>20698</v>
      </c>
      <c r="D36" s="4" t="s">
        <v>8</v>
      </c>
      <c r="E36" s="4">
        <v>1</v>
      </c>
      <c r="F36" s="5">
        <v>3502.14</v>
      </c>
      <c r="G36" s="5">
        <v>8.73</v>
      </c>
      <c r="H36" s="5">
        <f t="shared" si="0"/>
        <v>3502.14</v>
      </c>
      <c r="I36" s="5">
        <v>0.56999999999999995</v>
      </c>
      <c r="J36" s="5">
        <f t="shared" si="1"/>
        <v>-8.16</v>
      </c>
      <c r="K36" s="6">
        <f t="shared" si="2"/>
        <v>-2.3300039404478405E-3</v>
      </c>
    </row>
    <row r="37" spans="3:11" x14ac:dyDescent="0.35">
      <c r="C37" s="4">
        <v>22890</v>
      </c>
      <c r="D37" s="4" t="s">
        <v>5</v>
      </c>
      <c r="E37" s="4">
        <v>17</v>
      </c>
      <c r="F37" s="5">
        <v>175.99</v>
      </c>
      <c r="G37" s="5">
        <v>5.79</v>
      </c>
      <c r="H37" s="5">
        <f t="shared" si="0"/>
        <v>2991.83</v>
      </c>
      <c r="I37" s="5">
        <v>0.36</v>
      </c>
      <c r="J37" s="5">
        <f t="shared" si="1"/>
        <v>0.33000000000000007</v>
      </c>
      <c r="K37" s="6">
        <f t="shared" si="2"/>
        <v>1.1030038471437217E-4</v>
      </c>
    </row>
    <row r="38" spans="3:11" x14ac:dyDescent="0.35">
      <c r="C38" s="4">
        <v>25354</v>
      </c>
      <c r="D38" s="4" t="s">
        <v>5</v>
      </c>
      <c r="E38" s="4">
        <v>20</v>
      </c>
      <c r="F38" s="5">
        <v>155.06</v>
      </c>
      <c r="G38" s="5">
        <v>1.49</v>
      </c>
      <c r="H38" s="5">
        <f t="shared" si="0"/>
        <v>3101.2</v>
      </c>
      <c r="I38" s="5">
        <v>0.38</v>
      </c>
      <c r="J38" s="5">
        <f t="shared" si="1"/>
        <v>6.1099999999999994</v>
      </c>
      <c r="K38" s="6">
        <f t="shared" si="2"/>
        <v>1.9702050819037789E-3</v>
      </c>
    </row>
    <row r="39" spans="3:11" x14ac:dyDescent="0.35">
      <c r="C39" s="4">
        <v>21017</v>
      </c>
      <c r="D39" s="4" t="s">
        <v>6</v>
      </c>
      <c r="E39" s="4">
        <v>17</v>
      </c>
      <c r="F39" s="5">
        <v>5.98</v>
      </c>
      <c r="G39" s="5">
        <v>0.7</v>
      </c>
      <c r="H39" s="5">
        <f t="shared" si="0"/>
        <v>101.66000000000001</v>
      </c>
      <c r="I39" s="5">
        <v>0.56000000000000005</v>
      </c>
      <c r="J39" s="5">
        <f t="shared" si="1"/>
        <v>8.8200000000000021</v>
      </c>
      <c r="K39" s="6">
        <f t="shared" si="2"/>
        <v>8.6759787527050963E-2</v>
      </c>
    </row>
    <row r="40" spans="3:11" x14ac:dyDescent="0.35">
      <c r="C40" s="4">
        <v>21019</v>
      </c>
      <c r="D40" s="4" t="s">
        <v>6</v>
      </c>
      <c r="E40" s="4">
        <v>3</v>
      </c>
      <c r="F40" s="5">
        <v>29.14</v>
      </c>
      <c r="G40" s="5">
        <v>5.15</v>
      </c>
      <c r="H40" s="5">
        <f t="shared" si="0"/>
        <v>87.42</v>
      </c>
      <c r="I40" s="5">
        <v>0.36</v>
      </c>
      <c r="J40" s="5">
        <f t="shared" si="1"/>
        <v>-4.07</v>
      </c>
      <c r="K40" s="6">
        <f t="shared" si="2"/>
        <v>-4.6556851978952186E-2</v>
      </c>
    </row>
    <row r="41" spans="3:11" x14ac:dyDescent="0.35">
      <c r="C41" s="4">
        <v>23274</v>
      </c>
      <c r="D41" s="4" t="s">
        <v>9</v>
      </c>
      <c r="E41" s="4">
        <v>17</v>
      </c>
      <c r="F41" s="5">
        <v>3.69</v>
      </c>
      <c r="G41" s="5">
        <v>4.8600000000000003</v>
      </c>
      <c r="H41" s="5">
        <f t="shared" si="0"/>
        <v>62.73</v>
      </c>
      <c r="I41" s="5">
        <v>0.38</v>
      </c>
      <c r="J41" s="5">
        <f t="shared" si="1"/>
        <v>1.5999999999999996</v>
      </c>
      <c r="K41" s="6">
        <f t="shared" si="2"/>
        <v>2.5506137414315316E-2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3539C-2BB4-4B74-AFEA-59C80E5DDC17}">
  <dimension ref="C2:T41"/>
  <sheetViews>
    <sheetView zoomScaleNormal="100" workbookViewId="0">
      <selection activeCell="C8" sqref="C8"/>
    </sheetView>
  </sheetViews>
  <sheetFormatPr defaultRowHeight="14.5" x14ac:dyDescent="0.35"/>
  <cols>
    <col min="4" max="4" width="12" bestFit="1" customWidth="1"/>
    <col min="5" max="5" width="18" bestFit="1" customWidth="1"/>
    <col min="6" max="6" width="9.26953125" bestFit="1" customWidth="1"/>
    <col min="7" max="7" width="11.90625" bestFit="1" customWidth="1"/>
    <col min="8" max="8" width="13.36328125" customWidth="1"/>
    <col min="9" max="9" width="20.453125" bestFit="1" customWidth="1"/>
    <col min="10" max="10" width="8.81640625" bestFit="1" customWidth="1"/>
  </cols>
  <sheetData>
    <row r="2" spans="3:20" x14ac:dyDescent="0.35">
      <c r="C2" s="1" t="s">
        <v>0</v>
      </c>
      <c r="I2" s="1" t="s">
        <v>19</v>
      </c>
    </row>
    <row r="3" spans="3:20" x14ac:dyDescent="0.35">
      <c r="C3" s="1" t="s">
        <v>1</v>
      </c>
    </row>
    <row r="4" spans="3:20" x14ac:dyDescent="0.35">
      <c r="C4" s="1" t="s">
        <v>16</v>
      </c>
    </row>
    <row r="5" spans="3:20" x14ac:dyDescent="0.35">
      <c r="C5" s="1" t="s">
        <v>17</v>
      </c>
    </row>
    <row r="6" spans="3:20" x14ac:dyDescent="0.35">
      <c r="C6" s="1" t="s">
        <v>18</v>
      </c>
    </row>
    <row r="8" spans="3:20" x14ac:dyDescent="0.35">
      <c r="C8" s="8" t="s">
        <v>3</v>
      </c>
      <c r="D8" s="8" t="s">
        <v>4</v>
      </c>
      <c r="E8" s="8" t="s">
        <v>11</v>
      </c>
      <c r="F8" s="8" t="s">
        <v>12</v>
      </c>
      <c r="G8" s="8" t="s">
        <v>13</v>
      </c>
      <c r="H8" s="8" t="s">
        <v>14</v>
      </c>
      <c r="I8" s="8" t="s">
        <v>15</v>
      </c>
      <c r="J8" s="8" t="s">
        <v>10</v>
      </c>
      <c r="K8" s="8" t="s">
        <v>21</v>
      </c>
      <c r="T8" t="s">
        <v>21</v>
      </c>
    </row>
    <row r="9" spans="3:20" x14ac:dyDescent="0.35">
      <c r="C9" s="4">
        <v>20847</v>
      </c>
      <c r="D9" s="4" t="s">
        <v>5</v>
      </c>
      <c r="E9" s="4">
        <v>4</v>
      </c>
      <c r="F9" s="5">
        <v>2.84</v>
      </c>
      <c r="G9" s="5">
        <v>0.93</v>
      </c>
      <c r="H9" s="5">
        <f>E9*F9</f>
        <v>11.36</v>
      </c>
      <c r="I9" s="5">
        <v>0.54</v>
      </c>
      <c r="J9" s="5">
        <f>(E9*I9)-G9</f>
        <v>1.23</v>
      </c>
      <c r="K9" s="6">
        <f>J9/H9</f>
        <v>0.10827464788732395</v>
      </c>
      <c r="O9" s="3"/>
      <c r="P9" s="3"/>
      <c r="Q9" s="3">
        <f>N9*O9</f>
        <v>0</v>
      </c>
      <c r="R9" s="3"/>
      <c r="S9" s="3">
        <f>(N9*R9)-P9</f>
        <v>0</v>
      </c>
      <c r="T9" s="2" t="e">
        <f>S9/Q9</f>
        <v>#DIV/0!</v>
      </c>
    </row>
    <row r="10" spans="3:20" x14ac:dyDescent="0.35">
      <c r="C10" s="4">
        <v>20228</v>
      </c>
      <c r="D10" s="4" t="s">
        <v>6</v>
      </c>
      <c r="E10" s="4">
        <v>12</v>
      </c>
      <c r="F10" s="5">
        <v>500.98</v>
      </c>
      <c r="G10" s="5">
        <v>26</v>
      </c>
      <c r="H10" s="5">
        <f t="shared" ref="H10:H41" si="0">E10*F10</f>
        <v>6011.76</v>
      </c>
      <c r="I10" s="5">
        <v>0.6</v>
      </c>
      <c r="J10" s="5">
        <f t="shared" ref="J10:J41" si="1">(E10*I10)-G10</f>
        <v>-18.8</v>
      </c>
      <c r="K10" s="6">
        <f t="shared" ref="K10:K41" si="2">J10/H10</f>
        <v>-3.1272040134669382E-3</v>
      </c>
      <c r="O10" s="3"/>
      <c r="P10" s="3"/>
      <c r="Q10" s="3">
        <f t="shared" ref="Q10:Q41" si="3">N10*O10</f>
        <v>0</v>
      </c>
      <c r="R10" s="3"/>
      <c r="S10" s="3">
        <f t="shared" ref="S10:S41" si="4">(N10*R10)-P10</f>
        <v>0</v>
      </c>
      <c r="T10" s="2" t="e">
        <f t="shared" ref="T10:T41" si="5">S10/Q10</f>
        <v>#DIV/0!</v>
      </c>
    </row>
    <row r="11" spans="3:20" x14ac:dyDescent="0.35">
      <c r="C11" s="4">
        <v>21776</v>
      </c>
      <c r="D11" s="4" t="s">
        <v>7</v>
      </c>
      <c r="E11" s="4">
        <v>22</v>
      </c>
      <c r="F11" s="5">
        <v>9.48</v>
      </c>
      <c r="G11" s="5">
        <v>7.29</v>
      </c>
      <c r="H11" s="5">
        <f t="shared" si="0"/>
        <v>208.56</v>
      </c>
      <c r="I11" s="5">
        <v>0.45</v>
      </c>
      <c r="J11" s="5">
        <f t="shared" si="1"/>
        <v>2.6100000000000003</v>
      </c>
      <c r="K11" s="6">
        <f t="shared" si="2"/>
        <v>1.2514384349827389E-2</v>
      </c>
      <c r="O11" s="3"/>
      <c r="P11" s="3"/>
      <c r="Q11" s="3">
        <f t="shared" si="3"/>
        <v>0</v>
      </c>
      <c r="R11" s="3"/>
      <c r="S11" s="3">
        <f t="shared" si="4"/>
        <v>0</v>
      </c>
      <c r="T11" s="2" t="e">
        <f t="shared" si="5"/>
        <v>#DIV/0!</v>
      </c>
    </row>
    <row r="12" spans="3:20" x14ac:dyDescent="0.35">
      <c r="C12" s="4">
        <v>24844</v>
      </c>
      <c r="D12" s="4" t="s">
        <v>8</v>
      </c>
      <c r="E12" s="4">
        <v>16</v>
      </c>
      <c r="F12" s="5">
        <v>78.69</v>
      </c>
      <c r="G12" s="5">
        <v>19.989999999999998</v>
      </c>
      <c r="H12" s="5">
        <f t="shared" si="0"/>
        <v>1259.04</v>
      </c>
      <c r="I12" s="5">
        <v>0.43</v>
      </c>
      <c r="J12" s="5">
        <f t="shared" si="1"/>
        <v>-13.11</v>
      </c>
      <c r="K12" s="6">
        <f t="shared" si="2"/>
        <v>-1.0412695386961494E-2</v>
      </c>
      <c r="O12" s="3"/>
      <c r="P12" s="3"/>
      <c r="Q12" s="3">
        <f t="shared" si="3"/>
        <v>0</v>
      </c>
      <c r="R12" s="3"/>
      <c r="S12" s="3">
        <f t="shared" si="4"/>
        <v>0</v>
      </c>
      <c r="T12" s="2" t="e">
        <f t="shared" si="5"/>
        <v>#DIV/0!</v>
      </c>
    </row>
    <row r="13" spans="3:20" x14ac:dyDescent="0.35">
      <c r="C13" s="4">
        <v>24846</v>
      </c>
      <c r="D13" s="4" t="s">
        <v>8</v>
      </c>
      <c r="E13" s="4">
        <v>7</v>
      </c>
      <c r="F13" s="5">
        <v>3.28</v>
      </c>
      <c r="G13" s="5">
        <v>2.31</v>
      </c>
      <c r="H13" s="5">
        <f t="shared" si="0"/>
        <v>22.959999999999997</v>
      </c>
      <c r="I13" s="5">
        <v>0.56000000000000005</v>
      </c>
      <c r="J13" s="5">
        <f t="shared" si="1"/>
        <v>1.6100000000000003</v>
      </c>
      <c r="K13" s="6">
        <f t="shared" si="2"/>
        <v>7.0121951219512216E-2</v>
      </c>
      <c r="O13" s="3"/>
      <c r="P13" s="3"/>
      <c r="Q13" s="3">
        <f t="shared" si="3"/>
        <v>0</v>
      </c>
      <c r="R13" s="3"/>
      <c r="S13" s="3">
        <f t="shared" si="4"/>
        <v>0</v>
      </c>
      <c r="T13" s="2" t="e">
        <f t="shared" si="5"/>
        <v>#DIV/0!</v>
      </c>
    </row>
    <row r="14" spans="3:20" x14ac:dyDescent="0.35">
      <c r="C14" s="4">
        <v>24847</v>
      </c>
      <c r="D14" s="4" t="s">
        <v>8</v>
      </c>
      <c r="E14" s="4">
        <v>4</v>
      </c>
      <c r="F14" s="5">
        <v>3.28</v>
      </c>
      <c r="G14" s="5">
        <v>4.2</v>
      </c>
      <c r="H14" s="5">
        <f t="shared" si="0"/>
        <v>13.12</v>
      </c>
      <c r="I14" s="5">
        <v>0.56000000000000005</v>
      </c>
      <c r="J14" s="5">
        <f t="shared" si="1"/>
        <v>-1.96</v>
      </c>
      <c r="K14" s="6">
        <f t="shared" si="2"/>
        <v>-0.14939024390243902</v>
      </c>
      <c r="O14" s="3"/>
      <c r="P14" s="3"/>
      <c r="Q14" s="3">
        <f t="shared" si="3"/>
        <v>0</v>
      </c>
      <c r="R14" s="3"/>
      <c r="S14" s="3">
        <f t="shared" si="4"/>
        <v>0</v>
      </c>
      <c r="T14" s="2" t="e">
        <f t="shared" si="5"/>
        <v>#DIV/0!</v>
      </c>
    </row>
    <row r="15" spans="3:20" x14ac:dyDescent="0.35">
      <c r="C15" s="4">
        <v>24848</v>
      </c>
      <c r="D15" s="4" t="s">
        <v>8</v>
      </c>
      <c r="E15" s="4">
        <v>4</v>
      </c>
      <c r="F15" s="5">
        <v>3.58</v>
      </c>
      <c r="G15" s="5">
        <v>1.63</v>
      </c>
      <c r="H15" s="5">
        <f t="shared" si="0"/>
        <v>14.32</v>
      </c>
      <c r="I15" s="5">
        <v>0.36</v>
      </c>
      <c r="J15" s="5">
        <f t="shared" si="1"/>
        <v>-0.18999999999999995</v>
      </c>
      <c r="K15" s="6">
        <f t="shared" si="2"/>
        <v>-1.3268156424581002E-2</v>
      </c>
      <c r="O15" s="3"/>
      <c r="P15" s="3"/>
      <c r="Q15" s="3">
        <f t="shared" si="3"/>
        <v>0</v>
      </c>
      <c r="R15" s="3"/>
      <c r="S15" s="3">
        <f t="shared" si="4"/>
        <v>0</v>
      </c>
      <c r="T15" s="2" t="e">
        <f t="shared" si="5"/>
        <v>#DIV/0!</v>
      </c>
    </row>
    <row r="16" spans="3:20" x14ac:dyDescent="0.35">
      <c r="C16" s="4">
        <v>18181</v>
      </c>
      <c r="D16" s="4" t="s">
        <v>7</v>
      </c>
      <c r="E16" s="4">
        <v>7</v>
      </c>
      <c r="F16" s="5">
        <v>4.42</v>
      </c>
      <c r="G16" s="5">
        <v>4.99</v>
      </c>
      <c r="H16" s="5">
        <f t="shared" si="0"/>
        <v>30.939999999999998</v>
      </c>
      <c r="I16" s="5">
        <v>0.38</v>
      </c>
      <c r="J16" s="5">
        <f t="shared" si="1"/>
        <v>-2.33</v>
      </c>
      <c r="K16" s="6">
        <f t="shared" si="2"/>
        <v>-7.5307045895281199E-2</v>
      </c>
      <c r="O16" s="3"/>
      <c r="P16" s="3"/>
      <c r="Q16" s="3">
        <f t="shared" si="3"/>
        <v>0</v>
      </c>
      <c r="R16" s="3"/>
      <c r="S16" s="3">
        <f t="shared" si="4"/>
        <v>0</v>
      </c>
      <c r="T16" s="2" t="e">
        <f t="shared" si="5"/>
        <v>#DIV/0!</v>
      </c>
    </row>
    <row r="17" spans="3:20" x14ac:dyDescent="0.35">
      <c r="C17" s="4">
        <v>20925</v>
      </c>
      <c r="D17" s="4" t="s">
        <v>8</v>
      </c>
      <c r="E17" s="4">
        <v>10</v>
      </c>
      <c r="F17" s="5">
        <v>35.94</v>
      </c>
      <c r="G17" s="5">
        <v>6.66</v>
      </c>
      <c r="H17" s="5">
        <f t="shared" si="0"/>
        <v>359.4</v>
      </c>
      <c r="I17" s="5">
        <v>0.4</v>
      </c>
      <c r="J17" s="5">
        <f t="shared" si="1"/>
        <v>-2.66</v>
      </c>
      <c r="K17" s="6">
        <f t="shared" si="2"/>
        <v>-7.4012242626599898E-3</v>
      </c>
      <c r="O17" s="3"/>
      <c r="P17" s="3"/>
      <c r="Q17" s="3">
        <f t="shared" si="3"/>
        <v>0</v>
      </c>
      <c r="R17" s="3"/>
      <c r="S17" s="3">
        <f t="shared" si="4"/>
        <v>0</v>
      </c>
      <c r="T17" s="2" t="e">
        <f t="shared" si="5"/>
        <v>#DIV/0!</v>
      </c>
    </row>
    <row r="18" spans="3:20" x14ac:dyDescent="0.35">
      <c r="C18" s="4">
        <v>26267</v>
      </c>
      <c r="D18" s="4" t="s">
        <v>5</v>
      </c>
      <c r="E18" s="4">
        <v>6</v>
      </c>
      <c r="F18" s="5">
        <v>2.98</v>
      </c>
      <c r="G18" s="5">
        <v>1.58</v>
      </c>
      <c r="H18" s="5">
        <f t="shared" si="0"/>
        <v>17.88</v>
      </c>
      <c r="I18" s="5">
        <v>0.39</v>
      </c>
      <c r="J18" s="5">
        <f t="shared" si="1"/>
        <v>0.75999999999999979</v>
      </c>
      <c r="K18" s="6">
        <f t="shared" si="2"/>
        <v>4.25055928411633E-2</v>
      </c>
      <c r="O18" s="3"/>
      <c r="P18" s="3"/>
      <c r="Q18" s="3">
        <f t="shared" si="3"/>
        <v>0</v>
      </c>
      <c r="R18" s="3"/>
      <c r="S18" s="3">
        <f t="shared" si="4"/>
        <v>0</v>
      </c>
      <c r="T18" s="2" t="e">
        <f t="shared" si="5"/>
        <v>#DIV/0!</v>
      </c>
    </row>
    <row r="19" spans="3:20" x14ac:dyDescent="0.35">
      <c r="C19" s="4">
        <v>26268</v>
      </c>
      <c r="D19" s="4" t="s">
        <v>5</v>
      </c>
      <c r="E19" s="4">
        <v>10</v>
      </c>
      <c r="F19" s="5">
        <v>115.99</v>
      </c>
      <c r="G19" s="5">
        <v>2.5</v>
      </c>
      <c r="H19" s="5">
        <f t="shared" si="0"/>
        <v>1159.8999999999999</v>
      </c>
      <c r="I19" s="5">
        <v>0.55000000000000004</v>
      </c>
      <c r="J19" s="5">
        <f t="shared" si="1"/>
        <v>3</v>
      </c>
      <c r="K19" s="6">
        <f t="shared" si="2"/>
        <v>2.5864298646435043E-3</v>
      </c>
      <c r="O19" s="3"/>
      <c r="P19" s="3"/>
      <c r="Q19" s="3">
        <f t="shared" si="3"/>
        <v>0</v>
      </c>
      <c r="R19" s="3"/>
      <c r="S19" s="3">
        <f t="shared" si="4"/>
        <v>0</v>
      </c>
      <c r="T19" s="2" t="e">
        <f t="shared" si="5"/>
        <v>#DIV/0!</v>
      </c>
    </row>
    <row r="20" spans="3:20" x14ac:dyDescent="0.35">
      <c r="C20" s="4">
        <v>23890</v>
      </c>
      <c r="D20" s="4" t="s">
        <v>5</v>
      </c>
      <c r="E20" s="4">
        <v>17</v>
      </c>
      <c r="F20" s="5">
        <v>26.48</v>
      </c>
      <c r="G20" s="5">
        <v>6.93</v>
      </c>
      <c r="H20" s="5">
        <f t="shared" si="0"/>
        <v>450.16</v>
      </c>
      <c r="I20" s="5">
        <v>0.49</v>
      </c>
      <c r="J20" s="5">
        <f t="shared" si="1"/>
        <v>1.4000000000000004</v>
      </c>
      <c r="K20" s="6">
        <f t="shared" si="2"/>
        <v>3.1100053314377118E-3</v>
      </c>
      <c r="O20" s="3"/>
      <c r="P20" s="3"/>
      <c r="Q20" s="3">
        <f t="shared" si="3"/>
        <v>0</v>
      </c>
      <c r="R20" s="3"/>
      <c r="S20" s="3">
        <f t="shared" si="4"/>
        <v>0</v>
      </c>
      <c r="T20" s="2" t="e">
        <f t="shared" si="5"/>
        <v>#DIV/0!</v>
      </c>
    </row>
    <row r="21" spans="3:20" x14ac:dyDescent="0.35">
      <c r="C21" s="4">
        <v>24063</v>
      </c>
      <c r="D21" s="4" t="s">
        <v>6</v>
      </c>
      <c r="E21" s="4">
        <v>18</v>
      </c>
      <c r="F21" s="5">
        <v>12.99</v>
      </c>
      <c r="G21" s="5">
        <v>9.44</v>
      </c>
      <c r="H21" s="5">
        <f t="shared" si="0"/>
        <v>233.82</v>
      </c>
      <c r="I21" s="5">
        <v>0.39</v>
      </c>
      <c r="J21" s="5">
        <f t="shared" si="1"/>
        <v>-2.419999999999999</v>
      </c>
      <c r="K21" s="6">
        <f t="shared" si="2"/>
        <v>-1.0349841758617737E-2</v>
      </c>
      <c r="O21" s="3"/>
      <c r="P21" s="3"/>
      <c r="Q21" s="3">
        <f t="shared" si="3"/>
        <v>0</v>
      </c>
      <c r="R21" s="3"/>
      <c r="S21" s="3">
        <f t="shared" si="4"/>
        <v>0</v>
      </c>
      <c r="T21" s="2" t="e">
        <f t="shared" si="5"/>
        <v>#DIV/0!</v>
      </c>
    </row>
    <row r="22" spans="3:20" x14ac:dyDescent="0.35">
      <c r="C22" s="4">
        <v>5890</v>
      </c>
      <c r="D22" s="4" t="s">
        <v>5</v>
      </c>
      <c r="E22" s="4">
        <v>70</v>
      </c>
      <c r="F22" s="5">
        <v>26.48</v>
      </c>
      <c r="G22" s="5">
        <v>6.93</v>
      </c>
      <c r="H22" s="5">
        <f t="shared" si="0"/>
        <v>1853.6000000000001</v>
      </c>
      <c r="I22" s="5">
        <v>0.49</v>
      </c>
      <c r="J22" s="5">
        <f t="shared" si="1"/>
        <v>27.369999999999997</v>
      </c>
      <c r="K22" s="6">
        <f t="shared" si="2"/>
        <v>1.476586102719033E-2</v>
      </c>
      <c r="O22" s="3"/>
      <c r="P22" s="3"/>
      <c r="Q22" s="3">
        <f t="shared" si="3"/>
        <v>0</v>
      </c>
      <c r="R22" s="3"/>
      <c r="S22" s="3">
        <f t="shared" si="4"/>
        <v>0</v>
      </c>
      <c r="T22" s="2" t="e">
        <f t="shared" si="5"/>
        <v>#DIV/0!</v>
      </c>
    </row>
    <row r="23" spans="3:20" x14ac:dyDescent="0.35">
      <c r="C23" s="4">
        <v>6062</v>
      </c>
      <c r="D23" s="4" t="s">
        <v>6</v>
      </c>
      <c r="E23" s="4">
        <v>58</v>
      </c>
      <c r="F23" s="5">
        <v>5</v>
      </c>
      <c r="G23" s="5">
        <v>3.39</v>
      </c>
      <c r="H23" s="5">
        <f t="shared" si="0"/>
        <v>290</v>
      </c>
      <c r="I23" s="5">
        <v>0.37</v>
      </c>
      <c r="J23" s="5">
        <f t="shared" si="1"/>
        <v>18.07</v>
      </c>
      <c r="K23" s="6">
        <f t="shared" si="2"/>
        <v>6.2310344827586205E-2</v>
      </c>
      <c r="O23" s="3"/>
      <c r="P23" s="3"/>
      <c r="Q23" s="3">
        <f t="shared" si="3"/>
        <v>0</v>
      </c>
      <c r="R23" s="3"/>
      <c r="S23" s="3">
        <f t="shared" si="4"/>
        <v>0</v>
      </c>
      <c r="T23" s="2" t="e">
        <f t="shared" si="5"/>
        <v>#DIV/0!</v>
      </c>
    </row>
    <row r="24" spans="3:20" x14ac:dyDescent="0.35">
      <c r="C24" s="4">
        <v>6063</v>
      </c>
      <c r="D24" s="4" t="s">
        <v>6</v>
      </c>
      <c r="E24" s="4">
        <v>71</v>
      </c>
      <c r="F24" s="5">
        <v>12.99</v>
      </c>
      <c r="G24" s="5">
        <v>9.44</v>
      </c>
      <c r="H24" s="5">
        <f t="shared" si="0"/>
        <v>922.29</v>
      </c>
      <c r="I24" s="5">
        <v>0.39</v>
      </c>
      <c r="J24" s="5">
        <f t="shared" si="1"/>
        <v>18.25</v>
      </c>
      <c r="K24" s="6">
        <f t="shared" si="2"/>
        <v>1.9787702349586357E-2</v>
      </c>
      <c r="O24" s="3"/>
      <c r="P24" s="3"/>
      <c r="Q24" s="3">
        <f t="shared" si="3"/>
        <v>0</v>
      </c>
      <c r="R24" s="3"/>
      <c r="S24" s="3">
        <f t="shared" si="4"/>
        <v>0</v>
      </c>
      <c r="T24" s="2" t="e">
        <f t="shared" si="5"/>
        <v>#DIV/0!</v>
      </c>
    </row>
    <row r="25" spans="3:20" x14ac:dyDescent="0.35">
      <c r="C25" s="4">
        <v>20631</v>
      </c>
      <c r="D25" s="4" t="s">
        <v>5</v>
      </c>
      <c r="E25" s="4">
        <v>1</v>
      </c>
      <c r="F25" s="5">
        <v>55.48</v>
      </c>
      <c r="G25" s="5">
        <v>14.3</v>
      </c>
      <c r="H25" s="5">
        <f t="shared" si="0"/>
        <v>55.48</v>
      </c>
      <c r="I25" s="5">
        <v>0.37</v>
      </c>
      <c r="J25" s="5">
        <f t="shared" si="1"/>
        <v>-13.930000000000001</v>
      </c>
      <c r="K25" s="6">
        <f t="shared" si="2"/>
        <v>-0.25108147080028842</v>
      </c>
      <c r="O25" s="3"/>
      <c r="P25" s="3"/>
      <c r="Q25" s="3">
        <f t="shared" si="3"/>
        <v>0</v>
      </c>
      <c r="R25" s="3"/>
      <c r="S25" s="3">
        <f t="shared" si="4"/>
        <v>0</v>
      </c>
      <c r="T25" s="2" t="e">
        <f t="shared" si="5"/>
        <v>#DIV/0!</v>
      </c>
    </row>
    <row r="26" spans="3:20" x14ac:dyDescent="0.35">
      <c r="C26" s="4">
        <v>20632</v>
      </c>
      <c r="D26" s="4" t="s">
        <v>5</v>
      </c>
      <c r="E26" s="4">
        <v>1</v>
      </c>
      <c r="F26" s="5">
        <v>1.68</v>
      </c>
      <c r="G26" s="5">
        <v>1.57</v>
      </c>
      <c r="H26" s="5">
        <f t="shared" si="0"/>
        <v>1.68</v>
      </c>
      <c r="I26" s="5">
        <v>0.59</v>
      </c>
      <c r="J26" s="5">
        <f t="shared" si="1"/>
        <v>-0.98000000000000009</v>
      </c>
      <c r="K26" s="6">
        <f t="shared" si="2"/>
        <v>-0.58333333333333337</v>
      </c>
      <c r="O26" s="3"/>
      <c r="P26" s="3"/>
      <c r="Q26" s="3">
        <f t="shared" si="3"/>
        <v>0</v>
      </c>
      <c r="R26" s="3"/>
      <c r="S26" s="3">
        <f t="shared" si="4"/>
        <v>0</v>
      </c>
      <c r="T26" s="2" t="e">
        <f t="shared" si="5"/>
        <v>#DIV/0!</v>
      </c>
    </row>
    <row r="27" spans="3:20" x14ac:dyDescent="0.35">
      <c r="C27" s="4">
        <v>23967</v>
      </c>
      <c r="D27" s="4" t="s">
        <v>6</v>
      </c>
      <c r="E27" s="4">
        <v>12</v>
      </c>
      <c r="F27" s="5">
        <v>4.1399999999999997</v>
      </c>
      <c r="G27" s="5">
        <v>6.6</v>
      </c>
      <c r="H27" s="5">
        <f t="shared" si="0"/>
        <v>49.679999999999993</v>
      </c>
      <c r="I27" s="5">
        <v>0.49</v>
      </c>
      <c r="J27" s="5">
        <f t="shared" si="1"/>
        <v>-0.71999999999999975</v>
      </c>
      <c r="K27" s="6">
        <f t="shared" si="2"/>
        <v>-1.4492753623188403E-2</v>
      </c>
      <c r="O27" s="3"/>
      <c r="P27" s="3"/>
      <c r="Q27" s="3">
        <f t="shared" si="3"/>
        <v>0</v>
      </c>
      <c r="R27" s="3"/>
      <c r="S27" s="3">
        <f t="shared" si="4"/>
        <v>0</v>
      </c>
      <c r="T27" s="2" t="e">
        <f t="shared" si="5"/>
        <v>#DIV/0!</v>
      </c>
    </row>
    <row r="28" spans="3:20" x14ac:dyDescent="0.35">
      <c r="C28" s="4">
        <v>23509</v>
      </c>
      <c r="D28" s="4" t="s">
        <v>5</v>
      </c>
      <c r="E28" s="4">
        <v>13</v>
      </c>
      <c r="F28" s="5">
        <v>34.99</v>
      </c>
      <c r="G28" s="5">
        <v>7.73</v>
      </c>
      <c r="H28" s="5">
        <f t="shared" si="0"/>
        <v>454.87</v>
      </c>
      <c r="I28" s="5">
        <v>0.59</v>
      </c>
      <c r="J28" s="5">
        <f t="shared" si="1"/>
        <v>-6.0000000000000497E-2</v>
      </c>
      <c r="K28" s="6">
        <f t="shared" si="2"/>
        <v>-1.3190581924506012E-4</v>
      </c>
      <c r="O28" s="3"/>
      <c r="P28" s="3"/>
      <c r="Q28" s="3">
        <f t="shared" si="3"/>
        <v>0</v>
      </c>
      <c r="R28" s="3"/>
      <c r="S28" s="3">
        <f t="shared" si="4"/>
        <v>0</v>
      </c>
      <c r="T28" s="2" t="e">
        <f t="shared" si="5"/>
        <v>#DIV/0!</v>
      </c>
    </row>
    <row r="29" spans="3:20" x14ac:dyDescent="0.35">
      <c r="C29" s="4">
        <v>23612</v>
      </c>
      <c r="D29" s="4" t="s">
        <v>5</v>
      </c>
      <c r="E29" s="4">
        <v>2</v>
      </c>
      <c r="F29" s="5">
        <v>17.98</v>
      </c>
      <c r="G29" s="5">
        <v>8.51</v>
      </c>
      <c r="H29" s="5">
        <f t="shared" si="0"/>
        <v>35.96</v>
      </c>
      <c r="I29" s="5">
        <v>0.4</v>
      </c>
      <c r="J29" s="5">
        <f t="shared" si="1"/>
        <v>-7.71</v>
      </c>
      <c r="K29" s="6">
        <f t="shared" si="2"/>
        <v>-0.21440489432703003</v>
      </c>
      <c r="O29" s="3"/>
      <c r="P29" s="3"/>
      <c r="Q29" s="3">
        <f t="shared" si="3"/>
        <v>0</v>
      </c>
      <c r="R29" s="3"/>
      <c r="S29" s="3">
        <f t="shared" si="4"/>
        <v>0</v>
      </c>
      <c r="T29" s="2" t="e">
        <f t="shared" si="5"/>
        <v>#DIV/0!</v>
      </c>
    </row>
    <row r="30" spans="3:20" x14ac:dyDescent="0.35">
      <c r="C30" s="4">
        <v>23278</v>
      </c>
      <c r="D30" s="4" t="s">
        <v>8</v>
      </c>
      <c r="E30" s="4">
        <v>8</v>
      </c>
      <c r="F30" s="5">
        <v>125.99</v>
      </c>
      <c r="G30" s="5">
        <v>7.69</v>
      </c>
      <c r="H30" s="5">
        <f t="shared" si="0"/>
        <v>1007.92</v>
      </c>
      <c r="I30" s="5">
        <v>0.59</v>
      </c>
      <c r="J30" s="5">
        <f t="shared" si="1"/>
        <v>-2.9700000000000006</v>
      </c>
      <c r="K30" s="6">
        <f t="shared" si="2"/>
        <v>-2.9466624335264713E-3</v>
      </c>
      <c r="O30" s="3"/>
      <c r="P30" s="3"/>
      <c r="Q30" s="3">
        <f t="shared" si="3"/>
        <v>0</v>
      </c>
      <c r="R30" s="3"/>
      <c r="S30" s="3">
        <f t="shared" si="4"/>
        <v>0</v>
      </c>
      <c r="T30" s="2" t="e">
        <f t="shared" si="5"/>
        <v>#DIV/0!</v>
      </c>
    </row>
    <row r="31" spans="3:20" x14ac:dyDescent="0.35">
      <c r="C31" s="4">
        <v>19355</v>
      </c>
      <c r="D31" s="4" t="s">
        <v>9</v>
      </c>
      <c r="E31" s="4">
        <v>22</v>
      </c>
      <c r="F31" s="5">
        <v>205.99</v>
      </c>
      <c r="G31" s="5">
        <v>8.99</v>
      </c>
      <c r="H31" s="5">
        <f t="shared" si="0"/>
        <v>4531.7800000000007</v>
      </c>
      <c r="I31" s="5">
        <v>0.56000000000000005</v>
      </c>
      <c r="J31" s="5">
        <f t="shared" si="1"/>
        <v>3.33</v>
      </c>
      <c r="K31" s="6">
        <f t="shared" si="2"/>
        <v>7.3481060422174059E-4</v>
      </c>
      <c r="O31" s="3"/>
      <c r="P31" s="3"/>
      <c r="Q31" s="3">
        <f t="shared" si="3"/>
        <v>0</v>
      </c>
      <c r="R31" s="3"/>
      <c r="S31" s="3">
        <f t="shared" si="4"/>
        <v>0</v>
      </c>
      <c r="T31" s="2" t="e">
        <f t="shared" si="5"/>
        <v>#DIV/0!</v>
      </c>
    </row>
    <row r="32" spans="3:20" x14ac:dyDescent="0.35">
      <c r="C32" s="4">
        <v>23654</v>
      </c>
      <c r="D32" s="4" t="s">
        <v>6</v>
      </c>
      <c r="E32" s="4">
        <v>13</v>
      </c>
      <c r="F32" s="5">
        <v>4.24</v>
      </c>
      <c r="G32" s="5">
        <v>5.41</v>
      </c>
      <c r="H32" s="5">
        <f t="shared" si="0"/>
        <v>55.120000000000005</v>
      </c>
      <c r="I32" s="5">
        <v>0.35</v>
      </c>
      <c r="J32" s="5">
        <f t="shared" si="1"/>
        <v>-0.86000000000000032</v>
      </c>
      <c r="K32" s="6">
        <f t="shared" si="2"/>
        <v>-1.5602322206095795E-2</v>
      </c>
      <c r="O32" s="3"/>
      <c r="P32" s="3"/>
      <c r="Q32" s="3">
        <f t="shared" si="3"/>
        <v>0</v>
      </c>
      <c r="R32" s="3"/>
      <c r="S32" s="3">
        <f t="shared" si="4"/>
        <v>0</v>
      </c>
      <c r="T32" s="2" t="e">
        <f t="shared" si="5"/>
        <v>#DIV/0!</v>
      </c>
    </row>
    <row r="33" spans="3:20" x14ac:dyDescent="0.35">
      <c r="C33" s="4">
        <v>23655</v>
      </c>
      <c r="D33" s="4" t="s">
        <v>6</v>
      </c>
      <c r="E33" s="4">
        <v>18</v>
      </c>
      <c r="F33" s="5">
        <v>2.94</v>
      </c>
      <c r="G33" s="5">
        <v>0.7</v>
      </c>
      <c r="H33" s="5">
        <f t="shared" si="0"/>
        <v>52.92</v>
      </c>
      <c r="I33" s="5">
        <v>0.57999999999999996</v>
      </c>
      <c r="J33" s="5">
        <f t="shared" si="1"/>
        <v>9.74</v>
      </c>
      <c r="K33" s="6">
        <f t="shared" si="2"/>
        <v>0.18405139833711262</v>
      </c>
      <c r="O33" s="3"/>
      <c r="P33" s="3"/>
      <c r="Q33" s="3">
        <f t="shared" si="3"/>
        <v>0</v>
      </c>
      <c r="R33" s="3"/>
      <c r="S33" s="3">
        <f t="shared" si="4"/>
        <v>0</v>
      </c>
      <c r="T33" s="2" t="e">
        <f t="shared" si="5"/>
        <v>#DIV/0!</v>
      </c>
    </row>
    <row r="34" spans="3:20" x14ac:dyDescent="0.35">
      <c r="C34" s="4">
        <v>25933</v>
      </c>
      <c r="D34" s="4" t="s">
        <v>5</v>
      </c>
      <c r="E34" s="4">
        <v>6</v>
      </c>
      <c r="F34" s="5">
        <v>99.99</v>
      </c>
      <c r="G34" s="5">
        <v>19.989999999999998</v>
      </c>
      <c r="H34" s="5">
        <f t="shared" si="0"/>
        <v>599.93999999999994</v>
      </c>
      <c r="I34" s="5">
        <v>0.52</v>
      </c>
      <c r="J34" s="5">
        <f t="shared" si="1"/>
        <v>-16.869999999999997</v>
      </c>
      <c r="K34" s="6">
        <f t="shared" si="2"/>
        <v>-2.8119478614528119E-2</v>
      </c>
      <c r="O34" s="3"/>
      <c r="P34" s="3"/>
      <c r="Q34" s="3">
        <f t="shared" si="3"/>
        <v>0</v>
      </c>
      <c r="R34" s="3"/>
      <c r="S34" s="3">
        <f t="shared" si="4"/>
        <v>0</v>
      </c>
      <c r="T34" s="2" t="e">
        <f t="shared" si="5"/>
        <v>#DIV/0!</v>
      </c>
    </row>
    <row r="35" spans="3:20" x14ac:dyDescent="0.35">
      <c r="C35" s="4">
        <v>20697</v>
      </c>
      <c r="D35" s="4" t="s">
        <v>8</v>
      </c>
      <c r="E35" s="4">
        <v>6</v>
      </c>
      <c r="F35" s="5">
        <v>115.99</v>
      </c>
      <c r="G35" s="5">
        <v>2.5</v>
      </c>
      <c r="H35" s="5">
        <f t="shared" si="0"/>
        <v>695.93999999999994</v>
      </c>
      <c r="I35" s="5">
        <v>0.56999999999999995</v>
      </c>
      <c r="J35" s="5">
        <f t="shared" si="1"/>
        <v>0.91999999999999993</v>
      </c>
      <c r="K35" s="6">
        <f t="shared" si="2"/>
        <v>1.321953041928902E-3</v>
      </c>
      <c r="O35" s="3"/>
      <c r="P35" s="3"/>
      <c r="Q35" s="3">
        <f t="shared" si="3"/>
        <v>0</v>
      </c>
      <c r="R35" s="3"/>
      <c r="S35" s="3">
        <f t="shared" si="4"/>
        <v>0</v>
      </c>
      <c r="T35" s="2" t="e">
        <f t="shared" si="5"/>
        <v>#DIV/0!</v>
      </c>
    </row>
    <row r="36" spans="3:20" x14ac:dyDescent="0.35">
      <c r="C36" s="4">
        <v>20698</v>
      </c>
      <c r="D36" s="4" t="s">
        <v>8</v>
      </c>
      <c r="E36" s="4">
        <v>1</v>
      </c>
      <c r="F36" s="5">
        <v>3502.14</v>
      </c>
      <c r="G36" s="5">
        <v>8.73</v>
      </c>
      <c r="H36" s="5">
        <f t="shared" si="0"/>
        <v>3502.14</v>
      </c>
      <c r="I36" s="5">
        <v>0.56999999999999995</v>
      </c>
      <c r="J36" s="5">
        <f t="shared" si="1"/>
        <v>-8.16</v>
      </c>
      <c r="K36" s="6">
        <f t="shared" si="2"/>
        <v>-2.3300039404478405E-3</v>
      </c>
      <c r="O36" s="3"/>
      <c r="P36" s="3"/>
      <c r="Q36" s="3">
        <f t="shared" si="3"/>
        <v>0</v>
      </c>
      <c r="R36" s="3"/>
      <c r="S36" s="3">
        <f t="shared" si="4"/>
        <v>0</v>
      </c>
      <c r="T36" s="2" t="e">
        <f t="shared" si="5"/>
        <v>#DIV/0!</v>
      </c>
    </row>
    <row r="37" spans="3:20" x14ac:dyDescent="0.35">
      <c r="C37" s="4">
        <v>22890</v>
      </c>
      <c r="D37" s="4" t="s">
        <v>5</v>
      </c>
      <c r="E37" s="4">
        <v>17</v>
      </c>
      <c r="F37" s="5">
        <v>175.99</v>
      </c>
      <c r="G37" s="5">
        <v>5.79</v>
      </c>
      <c r="H37" s="5">
        <f t="shared" si="0"/>
        <v>2991.83</v>
      </c>
      <c r="I37" s="5">
        <v>0.36</v>
      </c>
      <c r="J37" s="5">
        <f t="shared" si="1"/>
        <v>0.33000000000000007</v>
      </c>
      <c r="K37" s="6">
        <f t="shared" si="2"/>
        <v>1.1030038471437217E-4</v>
      </c>
      <c r="O37" s="3"/>
      <c r="P37" s="3"/>
      <c r="Q37" s="3">
        <f t="shared" si="3"/>
        <v>0</v>
      </c>
      <c r="R37" s="3"/>
      <c r="S37" s="3">
        <f t="shared" si="4"/>
        <v>0</v>
      </c>
      <c r="T37" s="2" t="e">
        <f t="shared" si="5"/>
        <v>#DIV/0!</v>
      </c>
    </row>
    <row r="38" spans="3:20" x14ac:dyDescent="0.35">
      <c r="C38" s="4">
        <v>25354</v>
      </c>
      <c r="D38" s="4" t="s">
        <v>5</v>
      </c>
      <c r="E38" s="4">
        <v>20</v>
      </c>
      <c r="F38" s="5">
        <v>155.06</v>
      </c>
      <c r="G38" s="5">
        <v>1.49</v>
      </c>
      <c r="H38" s="5">
        <f t="shared" si="0"/>
        <v>3101.2</v>
      </c>
      <c r="I38" s="5">
        <v>0.38</v>
      </c>
      <c r="J38" s="5">
        <f t="shared" si="1"/>
        <v>6.1099999999999994</v>
      </c>
      <c r="K38" s="6">
        <f t="shared" si="2"/>
        <v>1.9702050819037789E-3</v>
      </c>
      <c r="O38" s="3"/>
      <c r="P38" s="3"/>
      <c r="Q38" s="3">
        <f t="shared" si="3"/>
        <v>0</v>
      </c>
      <c r="R38" s="3"/>
      <c r="S38" s="3">
        <f t="shared" si="4"/>
        <v>0</v>
      </c>
      <c r="T38" s="2" t="e">
        <f t="shared" si="5"/>
        <v>#DIV/0!</v>
      </c>
    </row>
    <row r="39" spans="3:20" x14ac:dyDescent="0.35">
      <c r="C39" s="4">
        <v>21017</v>
      </c>
      <c r="D39" s="4" t="s">
        <v>6</v>
      </c>
      <c r="E39" s="4">
        <v>17</v>
      </c>
      <c r="F39" s="5">
        <v>5.98</v>
      </c>
      <c r="G39" s="5">
        <v>0.7</v>
      </c>
      <c r="H39" s="5">
        <f t="shared" si="0"/>
        <v>101.66000000000001</v>
      </c>
      <c r="I39" s="5">
        <v>0.56000000000000005</v>
      </c>
      <c r="J39" s="5">
        <f t="shared" si="1"/>
        <v>8.8200000000000021</v>
      </c>
      <c r="K39" s="6">
        <f t="shared" si="2"/>
        <v>8.6759787527050963E-2</v>
      </c>
      <c r="O39" s="3"/>
      <c r="P39" s="3"/>
      <c r="Q39" s="3">
        <f t="shared" si="3"/>
        <v>0</v>
      </c>
      <c r="R39" s="3"/>
      <c r="S39" s="3">
        <f t="shared" si="4"/>
        <v>0</v>
      </c>
      <c r="T39" s="2" t="e">
        <f t="shared" si="5"/>
        <v>#DIV/0!</v>
      </c>
    </row>
    <row r="40" spans="3:20" x14ac:dyDescent="0.35">
      <c r="C40" s="4">
        <v>21019</v>
      </c>
      <c r="D40" s="4" t="s">
        <v>6</v>
      </c>
      <c r="E40" s="4">
        <v>3</v>
      </c>
      <c r="F40" s="5">
        <v>29.14</v>
      </c>
      <c r="G40" s="5">
        <v>5.15</v>
      </c>
      <c r="H40" s="5">
        <f t="shared" si="0"/>
        <v>87.42</v>
      </c>
      <c r="I40" s="5">
        <v>0.36</v>
      </c>
      <c r="J40" s="5">
        <f t="shared" si="1"/>
        <v>-4.07</v>
      </c>
      <c r="K40" s="6">
        <f t="shared" si="2"/>
        <v>-4.6556851978952186E-2</v>
      </c>
      <c r="O40" s="3"/>
      <c r="P40" s="3"/>
      <c r="Q40" s="3">
        <f t="shared" si="3"/>
        <v>0</v>
      </c>
      <c r="R40" s="3"/>
      <c r="S40" s="3">
        <f t="shared" si="4"/>
        <v>0</v>
      </c>
      <c r="T40" s="2" t="e">
        <f t="shared" si="5"/>
        <v>#DIV/0!</v>
      </c>
    </row>
    <row r="41" spans="3:20" x14ac:dyDescent="0.35">
      <c r="C41" s="4">
        <v>23274</v>
      </c>
      <c r="D41" s="4" t="s">
        <v>9</v>
      </c>
      <c r="E41" s="4">
        <v>17</v>
      </c>
      <c r="F41" s="5">
        <v>3.69</v>
      </c>
      <c r="G41" s="5">
        <v>4.8600000000000003</v>
      </c>
      <c r="H41" s="5">
        <f t="shared" si="0"/>
        <v>62.73</v>
      </c>
      <c r="I41" s="5">
        <v>0.38</v>
      </c>
      <c r="J41" s="5">
        <f t="shared" si="1"/>
        <v>1.5999999999999996</v>
      </c>
      <c r="K41" s="6">
        <f t="shared" si="2"/>
        <v>2.5506137414315316E-2</v>
      </c>
      <c r="O41" s="3"/>
      <c r="P41" s="3"/>
      <c r="Q41" s="3">
        <f t="shared" si="3"/>
        <v>0</v>
      </c>
      <c r="R41" s="3"/>
      <c r="S41" s="3">
        <f t="shared" si="4"/>
        <v>0</v>
      </c>
      <c r="T41" s="2" t="e">
        <f t="shared" si="5"/>
        <v>#DIV/0!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B3F6E-2BF9-476A-948A-71E4075CC2CE}">
  <dimension ref="C2:J41"/>
  <sheetViews>
    <sheetView zoomScale="85" zoomScaleNormal="85" workbookViewId="0">
      <selection activeCell="C8" sqref="C8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3.36328125" customWidth="1"/>
    <col min="9" max="9" width="20.36328125" bestFit="1" customWidth="1"/>
  </cols>
  <sheetData>
    <row r="2" spans="3:10" x14ac:dyDescent="0.35">
      <c r="C2" s="1" t="s">
        <v>0</v>
      </c>
      <c r="I2" s="1" t="s">
        <v>19</v>
      </c>
    </row>
    <row r="3" spans="3:10" x14ac:dyDescent="0.35">
      <c r="C3" s="1" t="s">
        <v>1</v>
      </c>
    </row>
    <row r="4" spans="3:10" x14ac:dyDescent="0.35">
      <c r="C4" s="1" t="s">
        <v>16</v>
      </c>
    </row>
    <row r="5" spans="3:10" x14ac:dyDescent="0.35">
      <c r="C5" s="1" t="s">
        <v>17</v>
      </c>
    </row>
    <row r="6" spans="3:10" x14ac:dyDescent="0.35">
      <c r="C6" s="1" t="s">
        <v>18</v>
      </c>
    </row>
    <row r="8" spans="3:10" x14ac:dyDescent="0.3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M13"/>
  <sheetViews>
    <sheetView zoomScaleNormal="100" workbookViewId="0">
      <selection activeCell="F6" sqref="F6"/>
    </sheetView>
  </sheetViews>
  <sheetFormatPr defaultRowHeight="14.5" x14ac:dyDescent="0.35"/>
  <cols>
    <col min="3" max="3" width="27.26953125" customWidth="1"/>
    <col min="4" max="4" width="78.36328125" customWidth="1"/>
    <col min="5" max="5" width="8.7265625" customWidth="1"/>
  </cols>
  <sheetData>
    <row r="3" spans="3:13" x14ac:dyDescent="0.35">
      <c r="C3" s="1" t="s">
        <v>2</v>
      </c>
    </row>
    <row r="4" spans="3:13" x14ac:dyDescent="0.35">
      <c r="C4" s="1" t="s">
        <v>20</v>
      </c>
    </row>
    <row r="6" spans="3:13" ht="14.5" customHeight="1" x14ac:dyDescent="0.35">
      <c r="C6" s="14" t="s">
        <v>22</v>
      </c>
      <c r="D6" s="14"/>
    </row>
    <row r="7" spans="3:13" x14ac:dyDescent="0.35">
      <c r="C7" s="10" t="s">
        <v>23</v>
      </c>
      <c r="D7" s="16"/>
    </row>
    <row r="8" spans="3:13" x14ac:dyDescent="0.35">
      <c r="C8" s="10" t="s">
        <v>24</v>
      </c>
      <c r="D8" s="15"/>
      <c r="M8" s="9"/>
    </row>
    <row r="9" spans="3:13" x14ac:dyDescent="0.35">
      <c r="C9" s="10" t="s">
        <v>25</v>
      </c>
      <c r="D9" s="12"/>
    </row>
    <row r="10" spans="3:13" x14ac:dyDescent="0.35">
      <c r="C10" s="10" t="s">
        <v>29</v>
      </c>
      <c r="D10" s="16"/>
    </row>
    <row r="11" spans="3:13" x14ac:dyDescent="0.35">
      <c r="C11" s="10" t="s">
        <v>28</v>
      </c>
      <c r="D11" s="16"/>
    </row>
    <row r="12" spans="3:13" x14ac:dyDescent="0.35">
      <c r="C12" s="10" t="s">
        <v>26</v>
      </c>
      <c r="D12" s="11"/>
    </row>
    <row r="13" spans="3:13" x14ac:dyDescent="0.35">
      <c r="C13" s="10" t="s">
        <v>27</v>
      </c>
      <c r="D13" s="15"/>
    </row>
  </sheetData>
  <mergeCells count="1">
    <mergeCell ref="C6:D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2C320-21D9-461B-9C4D-93B545BF5F57}">
  <dimension ref="A1:G2"/>
  <sheetViews>
    <sheetView tabSelected="1" workbookViewId="0"/>
  </sheetViews>
  <sheetFormatPr defaultRowHeight="14.5" x14ac:dyDescent="0.35"/>
  <cols>
    <col min="1" max="1" width="32.08984375" customWidth="1"/>
    <col min="3" max="3" width="17.54296875" customWidth="1"/>
    <col min="5" max="5" width="27.36328125" customWidth="1"/>
    <col min="6" max="6" width="53.453125" customWidth="1"/>
    <col min="7" max="7" width="17.81640625" customWidth="1"/>
  </cols>
  <sheetData>
    <row r="1" spans="1:7" x14ac:dyDescent="0.35">
      <c r="A1" s="13" t="s">
        <v>23</v>
      </c>
      <c r="B1" s="13" t="s">
        <v>24</v>
      </c>
      <c r="C1" s="13" t="s">
        <v>25</v>
      </c>
      <c r="D1" s="13" t="s">
        <v>29</v>
      </c>
      <c r="E1" s="13" t="s">
        <v>28</v>
      </c>
      <c r="F1" s="13" t="s">
        <v>26</v>
      </c>
      <c r="G1" s="13" t="s">
        <v>27</v>
      </c>
    </row>
    <row r="2" spans="1:7" x14ac:dyDescent="0.35">
      <c r="A2" s="11" t="s">
        <v>30</v>
      </c>
      <c r="B2" s="11">
        <v>25</v>
      </c>
      <c r="C2" s="12">
        <v>35692</v>
      </c>
      <c r="D2" s="11" t="s">
        <v>31</v>
      </c>
      <c r="E2" s="11" t="s">
        <v>32</v>
      </c>
      <c r="F2" s="11" t="s">
        <v>33</v>
      </c>
      <c r="G2" s="11">
        <v>9734646040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1 (2)</vt:lpstr>
      <vt:lpstr>1 (4)</vt:lpstr>
      <vt:lpstr>2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ANCHAL AGARWAL</cp:lastModifiedBy>
  <dcterms:created xsi:type="dcterms:W3CDTF">2015-06-05T18:17:20Z</dcterms:created>
  <dcterms:modified xsi:type="dcterms:W3CDTF">2022-09-26T20:34:08Z</dcterms:modified>
</cp:coreProperties>
</file>